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 KPI" sheetId="1" state="visible" r:id="rId1"/>
    <sheet xmlns:r="http://schemas.openxmlformats.org/officeDocument/2006/relationships" name="02 Data master" sheetId="2" state="visible" r:id="rId2"/>
    <sheet xmlns:r="http://schemas.openxmlformats.org/officeDocument/2006/relationships" name="03 Bar chart" sheetId="3" state="visible" r:id="rId3"/>
    <sheet xmlns:r="http://schemas.openxmlformats.org/officeDocument/2006/relationships" name="04 Stacked" sheetId="4" state="visible" r:id="rId4"/>
    <sheet xmlns:r="http://schemas.openxmlformats.org/officeDocument/2006/relationships" name="05 P&amp;L 3y" sheetId="5" state="visible" r:id="rId5"/>
    <sheet xmlns:r="http://schemas.openxmlformats.org/officeDocument/2006/relationships" name="06 Funn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#,##0 €;(#,##0 €)"/>
    <numFmt numFmtId="166" formatCode="0.0%"/>
  </numFmts>
  <fonts count="14">
    <font>
      <name val="Calibri"/>
      <family val="2"/>
      <color theme="1"/>
      <sz val="11"/>
      <scheme val="minor"/>
    </font>
    <font>
      <name val="Poppins"/>
      <b val="1"/>
      <color rgb="001C1F3B"/>
      <sz val="22"/>
    </font>
    <font>
      <name val="Raleway"/>
      <i val="1"/>
      <color rgb="00435D74"/>
      <sz val="11"/>
    </font>
    <font>
      <name val="Poppins"/>
      <b val="1"/>
      <color rgb="00FFFFFF"/>
      <sz val="11"/>
    </font>
    <font>
      <name val="Raleway"/>
      <b val="1"/>
      <color rgb="001C1F3B"/>
      <sz val="36"/>
    </font>
    <font>
      <name val="Raleway"/>
      <i val="1"/>
      <color rgb="00435D74"/>
      <sz val="10"/>
    </font>
    <font>
      <name val="Raleway"/>
      <b val="1"/>
      <color rgb="001C1F3B"/>
      <sz val="10"/>
    </font>
    <font>
      <name val="Raleway"/>
      <i val="1"/>
      <color rgb="006C757D"/>
      <sz val="9"/>
    </font>
    <font>
      <name val="Poppins"/>
      <b val="1"/>
      <color rgb="00FFFFFF"/>
      <sz val="10"/>
    </font>
    <font>
      <name val="Raleway"/>
      <color rgb="001C1F3B"/>
      <sz val="10"/>
    </font>
    <font>
      <name val="Poppins"/>
      <b val="1"/>
      <color rgb="001C1F3B"/>
      <sz val="18"/>
    </font>
    <font>
      <name val="Poppins"/>
      <b val="1"/>
      <color rgb="001C1F3B"/>
      <sz val="11"/>
    </font>
    <font>
      <name val="Raleway"/>
      <color rgb="001C1F3B"/>
      <sz val="11"/>
    </font>
    <font>
      <name val="Raleway"/>
      <b val="1"/>
      <color rgb="001C1F3B"/>
      <sz val="11"/>
    </font>
  </fonts>
  <fills count="7">
    <fill>
      <patternFill/>
    </fill>
    <fill>
      <patternFill patternType="gray125"/>
    </fill>
    <fill>
      <patternFill patternType="solid">
        <fgColor rgb="FF1C1F3B"/>
      </patternFill>
    </fill>
    <fill>
      <patternFill patternType="solid">
        <fgColor rgb="FFF9FCFF"/>
      </patternFill>
    </fill>
    <fill>
      <patternFill patternType="solid">
        <fgColor rgb="FF80C7C2"/>
      </patternFill>
    </fill>
    <fill>
      <patternFill patternType="solid">
        <fgColor rgb="FFFFFFFF"/>
      </patternFill>
    </fill>
    <fill>
      <patternFill patternType="solid">
        <fgColor rgb="FFEAEB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3" fontId="9" fillId="5" borderId="0" applyAlignment="1" pivotButton="0" quotePrefix="0" xfId="0">
      <alignment horizontal="right" vertical="center"/>
    </xf>
    <xf numFmtId="164" fontId="9" fillId="5" borderId="0" applyAlignment="1" pivotButton="0" quotePrefix="0" xfId="0">
      <alignment horizontal="right" vertical="center"/>
    </xf>
    <xf numFmtId="9" fontId="9" fillId="5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3" fontId="9" fillId="3" borderId="0" applyAlignment="1" pivotButton="0" quotePrefix="0" xfId="0">
      <alignment horizontal="right" vertical="center"/>
    </xf>
    <xf numFmtId="164" fontId="9" fillId="3" borderId="0" applyAlignment="1" pivotButton="0" quotePrefix="0" xfId="0">
      <alignment horizontal="right" vertical="center"/>
    </xf>
    <xf numFmtId="9" fontId="9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164" fontId="1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165" fontId="12" fillId="5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left" vertical="center"/>
    </xf>
    <xf numFmtId="165" fontId="12" fillId="3" borderId="0" applyAlignment="1" pivotButton="0" quotePrefix="0" xfId="0">
      <alignment horizontal="right" vertical="center"/>
    </xf>
    <xf numFmtId="0" fontId="13" fillId="6" borderId="0" applyAlignment="1" pivotButton="0" quotePrefix="0" xfId="0">
      <alignment horizontal="left" vertical="center"/>
    </xf>
    <xf numFmtId="165" fontId="13" fillId="6" borderId="0" applyAlignment="1" pivotButton="0" quotePrefix="0" xfId="0">
      <alignment horizontal="right" vertical="center"/>
    </xf>
    <xf numFmtId="166" fontId="13" fillId="6" borderId="0" applyAlignment="1" pivotButton="0" quotePrefix="0" xfId="0">
      <alignment horizontal="right" vertical="center"/>
    </xf>
    <xf numFmtId="0" fontId="3" fillId="2" borderId="0" pivotButton="0" quotePrefix="0" xfId="0"/>
    <xf numFmtId="0" fontId="12" fillId="5" borderId="0" pivotButton="0" quotePrefix="0" xfId="0"/>
    <xf numFmtId="3" fontId="12" fillId="5" borderId="0" applyAlignment="1" pivotButton="0" quotePrefix="0" xfId="0">
      <alignment horizontal="right"/>
    </xf>
    <xf numFmtId="0" fontId="12" fillId="3" borderId="0" pivotButton="0" quotePrefix="0" xfId="0"/>
    <xf numFmtId="3" fontId="12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"/>
  <chart>
    <plotArea>
      <barChart>
        <barDir val="col"/>
        <grouping val="clustered"/>
        <ser>
          <idx val="0"/>
          <order val="0"/>
          <tx>
            <strRef>
              <f>'03 Bar chart'!B3</f>
            </strRef>
          </tx>
          <spPr>
            <a:solidFill xmlns:a="http://schemas.openxmlformats.org/drawingml/2006/main">
              <a:srgbClr val="1C1F3B"/>
            </a:solidFill>
            <a:ln xmlns:a="http://schemas.openxmlformats.org/drawingml/2006/main">
              <a:prstDash val="solid"/>
            </a:ln>
          </spPr>
          <cat>
            <numRef>
              <f>'03 Bar chart'!$A$4:$A$8</f>
            </numRef>
          </cat>
          <val>
            <numRef>
              <f>'03 Bar chart'!$B$4:$B$8</f>
            </numRef>
          </val>
        </ser>
        <ser>
          <idx val="1"/>
          <order val="1"/>
          <tx>
            <strRef>
              <f>'03 Bar chart'!C3</f>
            </strRef>
          </tx>
          <spPr>
            <a:solidFill xmlns:a="http://schemas.openxmlformats.org/drawingml/2006/main">
              <a:srgbClr val="435D74"/>
            </a:solidFill>
            <a:ln xmlns:a="http://schemas.openxmlformats.org/drawingml/2006/main">
              <a:prstDash val="solid"/>
            </a:ln>
          </spPr>
          <cat>
            <numRef>
              <f>'03 Bar chart'!$A$4:$A$8</f>
            </numRef>
          </cat>
          <val>
            <numRef>
              <f>'03 Bar chart'!$C$4:$C$8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"/>
  <chart>
    <plotArea>
      <barChart>
        <barDir val="col"/>
        <grouping val="stacked"/>
        <ser>
          <idx val="0"/>
          <order val="0"/>
          <tx>
            <strRef>
              <f>'04 Stacked'!B3</f>
            </strRef>
          </tx>
          <spPr>
            <a:solidFill xmlns:a="http://schemas.openxmlformats.org/drawingml/2006/main">
              <a:srgbClr val="1C1F3B"/>
            </a:solidFill>
            <a:ln xmlns:a="http://schemas.openxmlformats.org/drawingml/2006/main">
              <a:prstDash val="solid"/>
            </a:ln>
          </spPr>
          <cat>
            <numRef>
              <f>'04 Stacked'!$A$4:$A$7</f>
            </numRef>
          </cat>
          <val>
            <numRef>
              <f>'04 Stacked'!$B$4:$B$7</f>
            </numRef>
          </val>
        </ser>
        <ser>
          <idx val="1"/>
          <order val="1"/>
          <tx>
            <strRef>
              <f>'04 Stacked'!C3</f>
            </strRef>
          </tx>
          <spPr>
            <a:solidFill xmlns:a="http://schemas.openxmlformats.org/drawingml/2006/main">
              <a:srgbClr val="435D74"/>
            </a:solidFill>
            <a:ln xmlns:a="http://schemas.openxmlformats.org/drawingml/2006/main">
              <a:prstDash val="solid"/>
            </a:ln>
          </spPr>
          <cat>
            <numRef>
              <f>'04 Stacked'!$A$4:$A$7</f>
            </numRef>
          </cat>
          <val>
            <numRef>
              <f>'04 Stacked'!$C$4:$C$7</f>
            </numRef>
          </val>
        </ser>
        <ser>
          <idx val="2"/>
          <order val="2"/>
          <tx>
            <strRef>
              <f>'04 Stacked'!D3</f>
            </strRef>
          </tx>
          <spPr>
            <a:solidFill xmlns:a="http://schemas.openxmlformats.org/drawingml/2006/main">
              <a:srgbClr val="CFD9E0"/>
            </a:solidFill>
            <a:ln xmlns:a="http://schemas.openxmlformats.org/drawingml/2006/main">
              <a:prstDash val="solid"/>
            </a:ln>
          </spPr>
          <cat>
            <numRef>
              <f>'04 Stacked'!$A$4:$A$7</f>
            </numRef>
          </cat>
          <val>
            <numRef>
              <f>'04 Stacked'!$D$4:$D$7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"/>
  <chart>
    <plotArea>
      <barChart>
        <barDir val="bar"/>
        <grouping val="clustered"/>
        <ser>
          <idx val="0"/>
          <order val="0"/>
          <tx>
            <strRef>
              <f>'06 Funnel'!B3</f>
            </strRef>
          </tx>
          <spPr>
            <a:solidFill xmlns:a="http://schemas.openxmlformats.org/drawingml/2006/main">
              <a:srgbClr val="1C1F3B"/>
            </a:solidFill>
            <a:ln xmlns:a="http://schemas.openxmlformats.org/drawingml/2006/main">
              <a:prstDash val="solid"/>
            </a:ln>
          </spPr>
          <cat>
            <numRef>
              <f>'06 Funnel'!$A$4:$A$9</f>
            </numRef>
          </cat>
          <val>
            <numRef>
              <f>'06 Funnel'!$B$4:$B$9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9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2" customWidth="1" min="6" max="6"/>
    <col width="9" customWidth="1" min="7" max="7"/>
    <col width="9" customWidth="1" min="8" max="8"/>
    <col width="9" customWidth="1" min="9" max="9"/>
    <col width="9" customWidth="1" min="10" max="10"/>
    <col width="2" customWidth="1" min="11" max="11"/>
    <col width="9" customWidth="1" min="12" max="12"/>
    <col width="9" customWidth="1" min="13" max="13"/>
    <col width="9" customWidth="1" min="14" max="14"/>
    <col width="9" customWidth="1" min="15" max="15"/>
    <col width="2" customWidth="1" min="16" max="16"/>
  </cols>
  <sheetData>
    <row r="1" ht="38" customHeight="1">
      <c r="B1" s="1" t="inlineStr">
        <is>
          <t>POF Dashboard KPI — FY2026</t>
        </is>
      </c>
    </row>
    <row r="2" ht="18" customHeight="1">
      <c r="B2" s="2" t="inlineStr">
        <is>
          <t>Indicateurs clés de pilotage du réseau franchise — actualisation mensuelle</t>
        </is>
      </c>
    </row>
    <row r="4" ht="28" customHeight="1">
      <c r="B4" s="3" t="inlineStr">
        <is>
          <t>REVENUE YTD</t>
        </is>
      </c>
      <c r="G4" s="3" t="inlineStr">
        <is>
          <t>FACTORIES LIVE</t>
        </is>
      </c>
      <c r="L4" s="3" t="inlineStr">
        <is>
          <t>JOBS CREATED</t>
        </is>
      </c>
    </row>
    <row r="5" ht="56" customHeight="1">
      <c r="B5" s="4" t="inlineStr">
        <is>
          <t>1.24M €</t>
        </is>
      </c>
      <c r="G5" s="4" t="inlineStr">
        <is>
          <t>5</t>
        </is>
      </c>
      <c r="L5" s="4" t="inlineStr">
        <is>
          <t>120</t>
        </is>
      </c>
    </row>
    <row r="6" ht="32" customHeight="1">
      <c r="B6" s="5" t="inlineStr">
        <is>
          <t>vs target 1.5M</t>
        </is>
      </c>
      <c r="G6" s="5" t="inlineStr">
        <is>
          <t>Senegal · Indonesia · Philippines · Kenya · Cameroon</t>
        </is>
      </c>
      <c r="L6" s="5" t="inlineStr">
        <is>
          <t>Direct + indirect</t>
        </is>
      </c>
    </row>
    <row r="7" ht="6" customHeight="1">
      <c r="B7" s="6" t="inlineStr">
        <is>
          <t>70%</t>
        </is>
      </c>
      <c r="G7" s="6" t="inlineStr"/>
      <c r="L7" s="6" t="inlineStr"/>
    </row>
    <row r="12" ht="28" customHeight="1">
      <c r="B12" s="3" t="inlineStr">
        <is>
          <t>TONNES RECYCLED</t>
        </is>
      </c>
      <c r="G12" s="3" t="inlineStr">
        <is>
          <t>CO₂ OFFSET</t>
        </is>
      </c>
      <c r="L12" s="3" t="inlineStr">
        <is>
          <t>NPS FRANCHISEES</t>
        </is>
      </c>
    </row>
    <row r="13" ht="56" customHeight="1">
      <c r="B13" s="4" t="inlineStr">
        <is>
          <t>350 t</t>
        </is>
      </c>
      <c r="G13" s="4" t="inlineStr">
        <is>
          <t>180 t</t>
        </is>
      </c>
      <c r="L13" s="4" t="inlineStr">
        <is>
          <t>+62</t>
        </is>
      </c>
    </row>
    <row r="14" ht="32" customHeight="1">
      <c r="B14" s="5" t="inlineStr">
        <is>
          <t>Cumul depuis pilotes</t>
        </is>
      </c>
      <c r="G14" s="5" t="inlineStr">
        <is>
          <t>Méthodologie POF v1</t>
        </is>
      </c>
      <c r="L14" s="5" t="inlineStr">
        <is>
          <t>Q4 2025 survey, n=8</t>
        </is>
      </c>
    </row>
    <row r="15" ht="6" customHeight="1">
      <c r="B15" s="6" t="inlineStr"/>
      <c r="G15" s="6" t="inlineStr"/>
      <c r="L15" s="6" t="inlineStr"/>
    </row>
    <row r="19">
      <c r="B19" s="7" t="inlineStr">
        <is>
          <t>Source : POF Operational Tracker — données indicatives FY2026 · v3.3.9</t>
        </is>
      </c>
    </row>
  </sheetData>
  <mergeCells count="26">
    <mergeCell ref="B4:F4"/>
    <mergeCell ref="B7:F7"/>
    <mergeCell ref="G12:K12"/>
    <mergeCell ref="L7:P7"/>
    <mergeCell ref="L13:P13"/>
    <mergeCell ref="L12:P12"/>
    <mergeCell ref="B12:F12"/>
    <mergeCell ref="G7:K7"/>
    <mergeCell ref="B2:O2"/>
    <mergeCell ref="L15:P15"/>
    <mergeCell ref="G13:K13"/>
    <mergeCell ref="L14:P14"/>
    <mergeCell ref="B14:F14"/>
    <mergeCell ref="L5:P5"/>
    <mergeCell ref="G6:K6"/>
    <mergeCell ref="B13:F13"/>
    <mergeCell ref="B1:O1"/>
    <mergeCell ref="L4:P4"/>
    <mergeCell ref="G15:K15"/>
    <mergeCell ref="G14:K14"/>
    <mergeCell ref="G5:K5"/>
    <mergeCell ref="G4:K4"/>
    <mergeCell ref="B6:F6"/>
    <mergeCell ref="B15:F15"/>
    <mergeCell ref="L6:P6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6" customWidth="1" min="4" max="4"/>
    <col width="16" customWidth="1" min="5" max="5"/>
    <col width="8" customWidth="1" min="6" max="6"/>
    <col width="13" customWidth="1" min="7" max="7"/>
    <col width="16" customWidth="1" min="8" max="8"/>
    <col width="16" customWidth="1" min="9" max="9"/>
    <col width="11" customWidth="1" min="10" max="10"/>
    <col width="12" customWidth="1" min="11" max="11"/>
    <col width="22" customWidth="1" min="12" max="12"/>
  </cols>
  <sheetData>
    <row r="1" ht="30" customHeight="1">
      <c r="A1" s="8" t="inlineStr">
        <is>
          <t>Pays</t>
        </is>
      </c>
      <c r="B1" s="8" t="inlineStr">
        <is>
          <t>Statut</t>
        </is>
      </c>
      <c r="C1" s="8" t="inlineStr">
        <is>
          <t>Date démarrage</t>
        </is>
      </c>
      <c r="D1" s="8" t="inlineStr">
        <is>
          <t>Tonnage 2025 (t)</t>
        </is>
      </c>
      <c r="E1" s="8" t="inlineStr">
        <is>
          <t>Tonnage 2026 (t)</t>
        </is>
      </c>
      <c r="F1" s="8" t="inlineStr">
        <is>
          <t>Jobs</t>
        </is>
      </c>
      <c r="G1" s="8" t="inlineStr">
        <is>
          <t>CapEx (€)</t>
        </is>
      </c>
      <c r="H1" s="8" t="inlineStr">
        <is>
          <t>Revenue 2025 (€)</t>
        </is>
      </c>
      <c r="I1" s="8" t="inlineStr">
        <is>
          <t>Revenue 2026 (€)</t>
        </is>
      </c>
      <c r="J1" s="8" t="inlineStr">
        <is>
          <t>% capacité</t>
        </is>
      </c>
      <c r="K1" s="8" t="inlineStr">
        <is>
          <t>Marge brute %</t>
        </is>
      </c>
      <c r="L1" s="8" t="inlineStr">
        <is>
          <t>Note</t>
        </is>
      </c>
    </row>
    <row r="2">
      <c r="A2" s="9" t="inlineStr">
        <is>
          <t>Sénégal</t>
        </is>
      </c>
      <c r="B2" s="9" t="inlineStr">
        <is>
          <t>Active</t>
        </is>
      </c>
      <c r="C2" s="10" t="inlineStr">
        <is>
          <t>2024-11-01</t>
        </is>
      </c>
      <c r="D2" s="11" t="n">
        <v>30</v>
      </c>
      <c r="E2" s="11" t="n">
        <v>60</v>
      </c>
      <c r="F2" s="11" t="n">
        <v>25</v>
      </c>
      <c r="G2" s="12" t="n">
        <v>280000</v>
      </c>
      <c r="H2" s="12" t="n">
        <v>80000</v>
      </c>
      <c r="I2" s="12" t="n">
        <v>180000</v>
      </c>
      <c r="J2" s="13" t="n">
        <v>0.65</v>
      </c>
      <c r="K2" s="13" t="n">
        <v>0.12</v>
      </c>
      <c r="L2" s="9" t="inlineStr">
        <is>
          <t>Pilote Dakar</t>
        </is>
      </c>
    </row>
    <row r="3">
      <c r="A3" s="14" t="inlineStr">
        <is>
          <t>Indonésie</t>
        </is>
      </c>
      <c r="B3" s="14" t="inlineStr">
        <is>
          <t>Active</t>
        </is>
      </c>
      <c r="C3" s="15" t="inlineStr">
        <is>
          <t>2025-03-15</t>
        </is>
      </c>
      <c r="D3" s="16" t="n">
        <v>45</v>
      </c>
      <c r="E3" s="16" t="n">
        <v>90</v>
      </c>
      <c r="F3" s="16" t="n">
        <v>35</v>
      </c>
      <c r="G3" s="17" t="n">
        <v>320000</v>
      </c>
      <c r="H3" s="17" t="n">
        <v>120000</v>
      </c>
      <c r="I3" s="17" t="n">
        <v>240000</v>
      </c>
      <c r="J3" s="18" t="n">
        <v>0.7</v>
      </c>
      <c r="K3" s="18" t="n">
        <v>0.14</v>
      </c>
      <c r="L3" s="14" t="inlineStr">
        <is>
          <t>Pilote Bali</t>
        </is>
      </c>
    </row>
    <row r="4">
      <c r="A4" s="9" t="inlineStr">
        <is>
          <t>Philippines</t>
        </is>
      </c>
      <c r="B4" s="9" t="inlineStr">
        <is>
          <t>Active</t>
        </is>
      </c>
      <c r="C4" s="10" t="inlineStr">
        <is>
          <t>2025-06-20</t>
        </is>
      </c>
      <c r="D4" s="11" t="n">
        <v>25</v>
      </c>
      <c r="E4" s="11" t="n">
        <v>55</v>
      </c>
      <c r="F4" s="11" t="n">
        <v>20</v>
      </c>
      <c r="G4" s="12" t="n">
        <v>290000</v>
      </c>
      <c r="H4" s="12" t="n">
        <v>70000</v>
      </c>
      <c r="I4" s="12" t="n">
        <v>160000</v>
      </c>
      <c r="J4" s="13" t="n">
        <v>0.6</v>
      </c>
      <c r="K4" s="13" t="n">
        <v>0.1</v>
      </c>
      <c r="L4" s="9" t="inlineStr">
        <is>
          <t>Pilote Cebu</t>
        </is>
      </c>
    </row>
    <row r="5">
      <c r="A5" s="14" t="inlineStr">
        <is>
          <t>Kenya</t>
        </is>
      </c>
      <c r="B5" s="14" t="inlineStr">
        <is>
          <t>Pipeline</t>
        </is>
      </c>
      <c r="C5" s="15" t="inlineStr">
        <is>
          <t>2026-Q3</t>
        </is>
      </c>
      <c r="D5" s="16" t="n">
        <v>0</v>
      </c>
      <c r="E5" s="16" t="n">
        <v>20</v>
      </c>
      <c r="F5" s="16" t="n">
        <v>10</v>
      </c>
      <c r="G5" s="17" t="n">
        <v>310000</v>
      </c>
      <c r="H5" s="17" t="n">
        <v>0</v>
      </c>
      <c r="I5" s="17" t="n">
        <v>45000</v>
      </c>
      <c r="J5" s="18" t="n">
        <v>0</v>
      </c>
      <c r="K5" s="18" t="n"/>
      <c r="L5" s="14" t="inlineStr">
        <is>
          <t>Lancement Q3</t>
        </is>
      </c>
    </row>
    <row r="6">
      <c r="A6" s="9" t="inlineStr">
        <is>
          <t>Cameroun</t>
        </is>
      </c>
      <c r="B6" s="9" t="inlineStr">
        <is>
          <t>Pipeline</t>
        </is>
      </c>
      <c r="C6" s="10" t="inlineStr">
        <is>
          <t>2026-Q4</t>
        </is>
      </c>
      <c r="D6" s="11" t="n">
        <v>0</v>
      </c>
      <c r="E6" s="11" t="n">
        <v>10</v>
      </c>
      <c r="F6" s="11" t="n">
        <v>5</v>
      </c>
      <c r="G6" s="12" t="n">
        <v>300000</v>
      </c>
      <c r="H6" s="12" t="n">
        <v>0</v>
      </c>
      <c r="I6" s="12" t="n">
        <v>20000</v>
      </c>
      <c r="J6" s="13" t="n">
        <v>0</v>
      </c>
      <c r="K6" s="13" t="n"/>
      <c r="L6" s="9" t="inlineStr">
        <is>
          <t>Étude finale</t>
        </is>
      </c>
    </row>
    <row r="7">
      <c r="A7" s="14" t="inlineStr">
        <is>
          <t>Côte d'Ivoire</t>
        </is>
      </c>
      <c r="B7" s="14" t="inlineStr">
        <is>
          <t>Pipeline</t>
        </is>
      </c>
      <c r="C7" s="15" t="inlineStr">
        <is>
          <t>2027-Q1</t>
        </is>
      </c>
      <c r="D7" s="16" t="n">
        <v>0</v>
      </c>
      <c r="E7" s="16" t="n">
        <v>0</v>
      </c>
      <c r="F7" s="16" t="n">
        <v>0</v>
      </c>
      <c r="G7" s="17" t="n">
        <v>295000</v>
      </c>
      <c r="H7" s="17" t="n">
        <v>0</v>
      </c>
      <c r="I7" s="17" t="n">
        <v>0</v>
      </c>
      <c r="J7" s="18" t="n">
        <v>0</v>
      </c>
      <c r="K7" s="18" t="n"/>
      <c r="L7" s="14" t="inlineStr">
        <is>
          <t>MOU signé</t>
        </is>
      </c>
    </row>
    <row r="8">
      <c r="A8" s="9" t="inlineStr">
        <is>
          <t>Madagascar</t>
        </is>
      </c>
      <c r="B8" s="9" t="inlineStr">
        <is>
          <t>Featured</t>
        </is>
      </c>
      <c r="C8" s="10" t="inlineStr">
        <is>
          <t>2027-Q2</t>
        </is>
      </c>
      <c r="D8" s="11" t="n">
        <v>0</v>
      </c>
      <c r="E8" s="11" t="n">
        <v>0</v>
      </c>
      <c r="F8" s="11" t="n">
        <v>0</v>
      </c>
      <c r="G8" s="12" t="n">
        <v>285000</v>
      </c>
      <c r="H8" s="12" t="n">
        <v>0</v>
      </c>
      <c r="I8" s="12" t="n">
        <v>0</v>
      </c>
      <c r="J8" s="13" t="n">
        <v>0</v>
      </c>
      <c r="K8" s="13" t="n"/>
      <c r="L8" s="9" t="inlineStr">
        <is>
          <t>Étude initiale</t>
        </is>
      </c>
    </row>
    <row r="9">
      <c r="A9" s="14" t="inlineStr">
        <is>
          <t>Tanzanie</t>
        </is>
      </c>
      <c r="B9" s="14" t="inlineStr">
        <is>
          <t>Featured</t>
        </is>
      </c>
      <c r="C9" s="15" t="inlineStr">
        <is>
          <t>2027-Q3</t>
        </is>
      </c>
      <c r="D9" s="16" t="n">
        <v>0</v>
      </c>
      <c r="E9" s="16" t="n">
        <v>0</v>
      </c>
      <c r="F9" s="16" t="n">
        <v>0</v>
      </c>
      <c r="G9" s="17" t="n">
        <v>305000</v>
      </c>
      <c r="H9" s="17" t="n">
        <v>0</v>
      </c>
      <c r="I9" s="17" t="n">
        <v>0</v>
      </c>
      <c r="J9" s="18" t="n">
        <v>0</v>
      </c>
      <c r="K9" s="18" t="n"/>
      <c r="L9" s="14" t="inlineStr">
        <is>
          <t>Discussions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Tonnage par pays — Évolution 2025 → 2026</t>
        </is>
      </c>
    </row>
    <row r="3">
      <c r="A3" s="20" t="inlineStr">
        <is>
          <t>Pays</t>
        </is>
      </c>
      <c r="B3" s="20" t="inlineStr">
        <is>
          <t>2025</t>
        </is>
      </c>
      <c r="C3" s="20" t="inlineStr">
        <is>
          <t>2026</t>
        </is>
      </c>
    </row>
    <row r="4">
      <c r="A4" s="21" t="inlineStr">
        <is>
          <t>Sénégal</t>
        </is>
      </c>
      <c r="B4" s="21" t="n">
        <v>30</v>
      </c>
      <c r="C4" s="21" t="n">
        <v>60</v>
      </c>
    </row>
    <row r="5">
      <c r="A5" s="21" t="inlineStr">
        <is>
          <t>Indonésie</t>
        </is>
      </c>
      <c r="B5" s="21" t="n">
        <v>45</v>
      </c>
      <c r="C5" s="21" t="n">
        <v>90</v>
      </c>
    </row>
    <row r="6">
      <c r="A6" s="21" t="inlineStr">
        <is>
          <t>Philippines</t>
        </is>
      </c>
      <c r="B6" s="21" t="n">
        <v>25</v>
      </c>
      <c r="C6" s="21" t="n">
        <v>55</v>
      </c>
    </row>
    <row r="7">
      <c r="A7" s="21" t="inlineStr">
        <is>
          <t>Kenya</t>
        </is>
      </c>
      <c r="B7" s="21" t="n">
        <v>0</v>
      </c>
      <c r="C7" s="21" t="n">
        <v>20</v>
      </c>
    </row>
    <row r="8">
      <c r="A8" s="21" t="inlineStr">
        <is>
          <t>Cameroun</t>
        </is>
      </c>
      <c r="B8" s="21" t="n">
        <v>0</v>
      </c>
      <c r="C8" s="21" t="n">
        <v>10</v>
      </c>
    </row>
    <row r="11">
      <c r="A11" s="7" t="inlineStr">
        <is>
          <t>Source : POF Operational Tracker · projections FY2026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Composition revenue par stream — 2026</t>
        </is>
      </c>
    </row>
    <row r="3">
      <c r="A3" s="20" t="inlineStr">
        <is>
          <t>Stream</t>
        </is>
      </c>
      <c r="B3" s="20" t="inlineStr">
        <is>
          <t>Sénégal</t>
        </is>
      </c>
      <c r="C3" s="20" t="inlineStr">
        <is>
          <t>Indonésie</t>
        </is>
      </c>
      <c r="D3" s="20" t="inlineStr">
        <is>
          <t>Philippines</t>
        </is>
      </c>
    </row>
    <row r="4">
      <c r="A4" s="21" t="inlineStr">
        <is>
          <t>Equipment</t>
        </is>
      </c>
      <c r="B4" s="22" t="n">
        <v>80000</v>
      </c>
      <c r="C4" s="22" t="n">
        <v>100000</v>
      </c>
      <c r="D4" s="22" t="n">
        <v>70000</v>
      </c>
    </row>
    <row r="5">
      <c r="A5" s="21" t="inlineStr">
        <is>
          <t>Training</t>
        </is>
      </c>
      <c r="B5" s="22" t="n">
        <v>30000</v>
      </c>
      <c r="C5" s="22" t="n">
        <v>50000</v>
      </c>
      <c r="D5" s="22" t="n">
        <v>25000</v>
      </c>
    </row>
    <row r="6">
      <c r="A6" s="21" t="inlineStr">
        <is>
          <t>Off-take</t>
        </is>
      </c>
      <c r="B6" s="22" t="n">
        <v>60000</v>
      </c>
      <c r="C6" s="22" t="n">
        <v>80000</v>
      </c>
      <c r="D6" s="22" t="n">
        <v>50000</v>
      </c>
    </row>
    <row r="7">
      <c r="A7" s="21" t="inlineStr">
        <is>
          <t>Plastic credits</t>
        </is>
      </c>
      <c r="B7" s="22" t="n">
        <v>10000</v>
      </c>
      <c r="C7" s="22" t="n">
        <v>10000</v>
      </c>
      <c r="D7" s="22" t="n">
        <v>15000</v>
      </c>
    </row>
    <row r="10">
      <c r="A10" s="7" t="inlineStr">
        <is>
          <t>Source : POF Business Plan v2026 · projections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9" t="inlineStr">
        <is>
          <t>Compte de résultat consolidé — FY2025-2027 (illustratif)</t>
        </is>
      </c>
    </row>
    <row r="3">
      <c r="A3" s="23" t="inlineStr">
        <is>
          <t>Ligne</t>
        </is>
      </c>
      <c r="B3" s="3" t="inlineStr">
        <is>
          <t>FY2025 (€)</t>
        </is>
      </c>
      <c r="C3" s="3" t="inlineStr">
        <is>
          <t>FY2026 (€)</t>
        </is>
      </c>
      <c r="D3" s="3" t="inlineStr">
        <is>
          <t>FY2027 (€)</t>
        </is>
      </c>
    </row>
    <row r="4">
      <c r="A4" s="24" t="inlineStr">
        <is>
          <t>Revenue equipment + services</t>
        </is>
      </c>
      <c r="B4" s="25" t="n">
        <v>270000</v>
      </c>
      <c r="C4" s="25" t="n">
        <v>1240000</v>
      </c>
      <c r="D4" s="25" t="n">
        <v>3200000</v>
      </c>
    </row>
    <row r="5">
      <c r="A5" s="26" t="inlineStr">
        <is>
          <t>Revenue off-take Impact Plastic</t>
        </is>
      </c>
      <c r="B5" s="27" t="n">
        <v>80000</v>
      </c>
      <c r="C5" s="27" t="n">
        <v>420000</v>
      </c>
      <c r="D5" s="27" t="n">
        <v>1100000</v>
      </c>
    </row>
    <row r="6">
      <c r="A6" s="24" t="inlineStr">
        <is>
          <t>Revenue plastic credits</t>
        </is>
      </c>
      <c r="B6" s="25" t="n">
        <v>0</v>
      </c>
      <c r="C6" s="25" t="n">
        <v>35000</v>
      </c>
      <c r="D6" s="25" t="n">
        <v>180000</v>
      </c>
    </row>
    <row r="7">
      <c r="A7" s="28" t="inlineStr">
        <is>
          <t>Total revenue</t>
        </is>
      </c>
      <c r="B7" s="29">
        <f>SUM(B4:B6)</f>
        <v/>
      </c>
      <c r="C7" s="29">
        <f>SUM(C4:C6)</f>
        <v/>
      </c>
      <c r="D7" s="29">
        <f>SUM(D4:D6)</f>
        <v/>
      </c>
    </row>
    <row r="8">
      <c r="A8" s="24" t="inlineStr">
        <is>
          <t>COGS equipment</t>
        </is>
      </c>
      <c r="B8" s="25" t="n">
        <v>-180000</v>
      </c>
      <c r="C8" s="25" t="n">
        <v>-800000</v>
      </c>
      <c r="D8" s="25" t="n">
        <v>-2000000</v>
      </c>
    </row>
    <row r="9">
      <c r="A9" s="26" t="inlineStr">
        <is>
          <t>COGS services</t>
        </is>
      </c>
      <c r="B9" s="27" t="n">
        <v>-50000</v>
      </c>
      <c r="C9" s="27" t="n">
        <v>-190000</v>
      </c>
      <c r="D9" s="27" t="n">
        <v>-480000</v>
      </c>
    </row>
    <row r="10">
      <c r="A10" s="28" t="inlineStr">
        <is>
          <t>Total COGS</t>
        </is>
      </c>
      <c r="B10" s="29">
        <f>SUM(B8:B9)</f>
        <v/>
      </c>
      <c r="C10" s="29">
        <f>SUM(C8:C9)</f>
        <v/>
      </c>
      <c r="D10" s="29">
        <f>SUM(D8:D9)</f>
        <v/>
      </c>
    </row>
    <row r="11">
      <c r="A11" s="28" t="inlineStr">
        <is>
          <t>Gross margin</t>
        </is>
      </c>
      <c r="B11" s="29">
        <f>B7+B10</f>
        <v/>
      </c>
      <c r="C11" s="29">
        <f>C7+C10</f>
        <v/>
      </c>
      <c r="D11" s="29">
        <f>D7+D10</f>
        <v/>
      </c>
    </row>
    <row r="12">
      <c r="A12" s="28" t="inlineStr">
        <is>
          <t>Gross margin %</t>
        </is>
      </c>
      <c r="B12" s="30">
        <f>IFERROR(B11/B7,0)</f>
        <v/>
      </c>
      <c r="C12" s="30">
        <f>IFERROR(C11/C7,0)</f>
        <v/>
      </c>
      <c r="D12" s="30">
        <f>IFERROR(D11/D7,0)</f>
        <v/>
      </c>
    </row>
    <row r="13">
      <c r="A13" s="26" t="inlineStr">
        <is>
          <t>OPEX engineering</t>
        </is>
      </c>
      <c r="B13" s="27" t="n">
        <v>-120000</v>
      </c>
      <c r="C13" s="27" t="n">
        <v>-180000</v>
      </c>
      <c r="D13" s="27" t="n">
        <v>-310000</v>
      </c>
    </row>
    <row r="14">
      <c r="A14" s="24" t="inlineStr">
        <is>
          <t>OPEX commercial</t>
        </is>
      </c>
      <c r="B14" s="25" t="n">
        <v>-90000</v>
      </c>
      <c r="C14" s="25" t="n">
        <v>-160000</v>
      </c>
      <c r="D14" s="25" t="n">
        <v>-290000</v>
      </c>
    </row>
    <row r="15">
      <c r="A15" s="26" t="inlineStr">
        <is>
          <t>OPEX overhead</t>
        </is>
      </c>
      <c r="B15" s="27" t="n">
        <v>-160000</v>
      </c>
      <c r="C15" s="27" t="n">
        <v>-210000</v>
      </c>
      <c r="D15" s="27" t="n">
        <v>-340000</v>
      </c>
    </row>
    <row r="16">
      <c r="A16" s="28" t="inlineStr">
        <is>
          <t>EBITDA</t>
        </is>
      </c>
      <c r="B16" s="29">
        <f>B11+SUM(B13:B15)</f>
        <v/>
      </c>
      <c r="C16" s="29">
        <f>C11+SUM(C13:C15)</f>
        <v/>
      </c>
      <c r="D16" s="29">
        <f>D11+SUM(D13:D15)</f>
        <v/>
      </c>
    </row>
    <row r="17">
      <c r="A17" s="26" t="inlineStr">
        <is>
          <t>D&amp;A</t>
        </is>
      </c>
      <c r="B17" s="27" t="n">
        <v>-45000</v>
      </c>
      <c r="C17" s="27" t="n">
        <v>-65000</v>
      </c>
      <c r="D17" s="27" t="n">
        <v>-110000</v>
      </c>
    </row>
    <row r="18">
      <c r="A18" s="28" t="inlineStr">
        <is>
          <t>EBIT</t>
        </is>
      </c>
      <c r="B18" s="29">
        <f>B16+B17</f>
        <v/>
      </c>
      <c r="C18" s="29">
        <f>C16+C17</f>
        <v/>
      </c>
      <c r="D18" s="29">
        <f>D16+D17</f>
        <v/>
      </c>
    </row>
    <row r="20">
      <c r="A20" s="7" t="inlineStr">
        <is>
          <t>Source : POF Business Plan v2026 · projections illustratives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9" t="inlineStr">
        <is>
          <t>Pipeline conversion funnel — franchisee acquisition 2026</t>
        </is>
      </c>
    </row>
    <row r="3">
      <c r="A3" s="31" t="inlineStr">
        <is>
          <t>Stage</t>
        </is>
      </c>
      <c r="B3" s="31" t="inlineStr">
        <is>
          <t>Count</t>
        </is>
      </c>
    </row>
    <row r="4">
      <c r="A4" s="32" t="inlineStr">
        <is>
          <t>Inquiries</t>
        </is>
      </c>
      <c r="B4" s="33" t="n">
        <v>240</v>
      </c>
    </row>
    <row r="5">
      <c r="A5" s="34" t="inlineStr">
        <is>
          <t>Qualified leads</t>
        </is>
      </c>
      <c r="B5" s="35" t="n">
        <v>95</v>
      </c>
    </row>
    <row r="6">
      <c r="A6" s="32" t="inlineStr">
        <is>
          <t>MOU signed</t>
        </is>
      </c>
      <c r="B6" s="33" t="n">
        <v>32</v>
      </c>
    </row>
    <row r="7">
      <c r="A7" s="34" t="inlineStr">
        <is>
          <t>Site visit</t>
        </is>
      </c>
      <c r="B7" s="35" t="n">
        <v>18</v>
      </c>
    </row>
    <row r="8">
      <c r="A8" s="32" t="inlineStr">
        <is>
          <t>Contract</t>
        </is>
      </c>
      <c r="B8" s="33" t="n">
        <v>9</v>
      </c>
    </row>
    <row r="9">
      <c r="A9" s="34" t="inlineStr">
        <is>
          <t>Operational</t>
        </is>
      </c>
      <c r="B9" s="35" t="n">
        <v>5</v>
      </c>
    </row>
    <row r="11">
      <c r="A11" s="7" t="inlineStr">
        <is>
          <t>Source : POF CRM · Q1-Q3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2026-04-27T12:17:50Z</dcterms:created>
  <dcterms:modified xmlns:dcterms="http://purl.org/dc/terms/" xmlns:xsi="http://www.w3.org/2001/XMLSchema-instance" xsi:type="dcterms:W3CDTF">2026-04-27T12:17:50Z</dcterms:modified>
</cp:coreProperties>
</file>