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KPI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Cha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€"/>
  </numFmts>
  <fonts count="11">
    <font>
      <name val="Calibri"/>
      <family val="2"/>
      <color theme="1"/>
      <sz val="11"/>
      <scheme val="minor"/>
    </font>
    <font>
      <name val="Poppins"/>
      <b val="1"/>
      <color rgb="FFFFFFFF"/>
      <sz val="14"/>
    </font>
    <font>
      <name val="Raleway"/>
      <b val="1"/>
      <color rgb="001C1F3B"/>
      <sz val="36"/>
    </font>
    <font>
      <name val="Raleway"/>
      <i val="1"/>
      <color rgb="00435D74"/>
      <sz val="11"/>
    </font>
    <font>
      <name val="Poppins"/>
      <b val="1"/>
      <color rgb="001C1F3B"/>
      <sz val="22"/>
    </font>
    <font>
      <name val="Raleway"/>
      <i val="1"/>
      <color rgb="006C757D"/>
      <sz val="9"/>
    </font>
    <font>
      <name val="Poppins"/>
      <b val="1"/>
      <color rgb="FFFFFFFF"/>
      <sz val="10"/>
    </font>
    <font>
      <name val="Raleway"/>
      <color rgb="001C1F3B"/>
      <sz val="10"/>
    </font>
    <font>
      <name val="Poppins"/>
      <b val="1"/>
      <color rgb="001C1F3B"/>
      <sz val="14"/>
    </font>
    <font>
      <name val="Poppins"/>
      <b val="1"/>
      <color rgb="001C1F3B"/>
      <sz val="11"/>
    </font>
    <font>
      <name val="Raleway"/>
      <color rgb="001C1F3B"/>
      <sz val="11"/>
    </font>
  </fonts>
  <fills count="5">
    <fill>
      <patternFill/>
    </fill>
    <fill>
      <patternFill patternType="gray125"/>
    </fill>
    <fill>
      <patternFill patternType="solid">
        <fgColor rgb="FF1C1F3B"/>
      </patternFill>
    </fill>
    <fill>
      <patternFill patternType="solid">
        <fgColor rgb="FFF9FCFF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4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center" vertical="center"/>
    </xf>
    <xf numFmtId="3" fontId="7" fillId="4" borderId="0" applyAlignment="1" pivotButton="0" quotePrefix="0" xfId="0">
      <alignment horizontal="right" vertical="center"/>
    </xf>
    <xf numFmtId="164" fontId="7" fillId="4" borderId="0" applyAlignment="1" pivotButton="0" quotePrefix="0" xfId="0">
      <alignment horizontal="right" vertical="center"/>
    </xf>
    <xf numFmtId="9" fontId="7" fillId="4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center" vertical="center"/>
    </xf>
    <xf numFmtId="3" fontId="7" fillId="3" borderId="0" applyAlignment="1" pivotButton="0" quotePrefix="0" xfId="0">
      <alignment horizontal="right" vertical="center"/>
    </xf>
    <xf numFmtId="164" fontId="7" fillId="3" borderId="0" applyAlignment="1" pivotButton="0" quotePrefix="0" xfId="0">
      <alignment horizontal="right" vertical="center"/>
    </xf>
    <xf numFmtId="9" fontId="7" fillId="3" borderId="0" applyAlignment="1" pivotButton="0" quotePrefix="0" xfId="0">
      <alignment horizontal="right" vertic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"/>
  <chart>
    <plotArea>
      <barChart>
        <barDir val="col"/>
        <grouping val="clustered"/>
        <ser>
          <idx val="0"/>
          <order val="0"/>
          <tx>
            <strRef>
              <f>'Chart'!B3</f>
            </strRef>
          </tx>
          <spPr>
            <a:solidFill xmlns:a="http://schemas.openxmlformats.org/drawingml/2006/main">
              <a:srgbClr val="1C1F3B"/>
            </a:solidFill>
            <a:ln xmlns:a="http://schemas.openxmlformats.org/drawingml/2006/main">
              <a:prstDash val="solid"/>
            </a:ln>
          </spPr>
          <cat>
            <numRef>
              <f>'Chart'!$A$4:$A$8</f>
            </numRef>
          </cat>
          <val>
            <numRef>
              <f>'Chart'!$B$4:$B$8</f>
            </numRef>
          </val>
        </ser>
        <ser>
          <idx val="1"/>
          <order val="1"/>
          <tx>
            <strRef>
              <f>'Chart'!C3</f>
            </strRef>
          </tx>
          <spPr>
            <a:solidFill xmlns:a="http://schemas.openxmlformats.org/drawingml/2006/main">
              <a:srgbClr val="435D74"/>
            </a:solidFill>
            <a:ln xmlns:a="http://schemas.openxmlformats.org/drawingml/2006/main">
              <a:prstDash val="solid"/>
            </a:ln>
          </spPr>
          <cat>
            <numRef>
              <f>'Chart'!$A$4:$A$8</f>
            </numRef>
          </cat>
          <val>
            <numRef>
              <f>'Chart'!$C$4:$C$8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Pays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Tonnes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O14"/>
  <sheetViews>
    <sheetView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8" customWidth="1" min="3" max="3"/>
    <col width="8" customWidth="1" min="4" max="4"/>
    <col width="8" customWidth="1" min="5" max="5"/>
    <col width="2" customWidth="1" min="6" max="6"/>
    <col width="8" customWidth="1" min="7" max="7"/>
    <col width="8" customWidth="1" min="8" max="8"/>
    <col width="8" customWidth="1" min="9" max="9"/>
    <col width="8" customWidth="1" min="10" max="10"/>
    <col width="2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 ht="40" customHeight="1">
      <c r="B1" s="1" t="inlineStr">
        <is>
          <t>POF Dashboard KPI — FY2026</t>
        </is>
      </c>
    </row>
    <row r="2" ht="12" customHeight="1"/>
    <row r="3" ht="30" customHeight="1">
      <c r="B3" s="2" t="inlineStr">
        <is>
          <t>Revenue</t>
        </is>
      </c>
      <c r="G3" s="2" t="inlineStr">
        <is>
          <t>Factories live</t>
        </is>
      </c>
      <c r="L3" s="2" t="inlineStr">
        <is>
          <t>Jobs created</t>
        </is>
      </c>
    </row>
    <row r="4" ht="60" customHeight="1">
      <c r="B4" s="3" t="inlineStr">
        <is>
          <t>1.2M €</t>
        </is>
      </c>
      <c r="G4" s="3" t="inlineStr">
        <is>
          <t>5</t>
        </is>
      </c>
      <c r="L4" s="3" t="inlineStr">
        <is>
          <t>120</t>
        </is>
      </c>
    </row>
    <row r="5" ht="26" customHeight="1">
      <c r="B5" s="4" t="inlineStr">
        <is>
          <t>FY2026 target</t>
        </is>
      </c>
      <c r="G5" s="4" t="inlineStr">
        <is>
          <t>Senegal · Indonesia · Philippines · Kenya · Cameroon</t>
        </is>
      </c>
      <c r="L5" s="4" t="inlineStr">
        <is>
          <t>Direct + indirect, FY2026</t>
        </is>
      </c>
    </row>
    <row r="9" ht="30" customHeight="1">
      <c r="B9" s="2" t="inlineStr">
        <is>
          <t>Tonnes recycled</t>
        </is>
      </c>
      <c r="G9" s="2" t="inlineStr">
        <is>
          <t>CO₂ offset</t>
        </is>
      </c>
      <c r="L9" s="2" t="inlineStr">
        <is>
          <t>NPS franchisees</t>
        </is>
      </c>
    </row>
    <row r="10" ht="60" customHeight="1">
      <c r="B10" s="3" t="inlineStr">
        <is>
          <t>350 t</t>
        </is>
      </c>
      <c r="G10" s="3" t="inlineStr">
        <is>
          <t>180 t</t>
        </is>
      </c>
      <c r="L10" s="3" t="inlineStr">
        <is>
          <t>+62</t>
        </is>
      </c>
    </row>
    <row r="11" ht="26" customHeight="1">
      <c r="B11" s="4" t="inlineStr">
        <is>
          <t>Cumulative since launch</t>
        </is>
      </c>
      <c r="G11" s="4" t="inlineStr">
        <is>
          <t>Estimated, methodology v1</t>
        </is>
      </c>
      <c r="L11" s="4" t="inlineStr">
        <is>
          <t>Q4 2025 survey</t>
        </is>
      </c>
    </row>
    <row r="14">
      <c r="B14" s="5" t="inlineStr">
        <is>
          <t>Source : POF Business Plan v3 — données indicatives</t>
        </is>
      </c>
    </row>
  </sheetData>
  <mergeCells count="19">
    <mergeCell ref="B9:E9"/>
    <mergeCell ref="L9:O9"/>
    <mergeCell ref="G4:J4"/>
    <mergeCell ref="B5:E5"/>
    <mergeCell ref="L11:O11"/>
    <mergeCell ref="G9:J9"/>
    <mergeCell ref="B4:E4"/>
    <mergeCell ref="B3:E3"/>
    <mergeCell ref="G11:J11"/>
    <mergeCell ref="B1:O1"/>
    <mergeCell ref="L3:O3"/>
    <mergeCell ref="B11:E11"/>
    <mergeCell ref="G10:J10"/>
    <mergeCell ref="L5:O5"/>
    <mergeCell ref="G3:J3"/>
    <mergeCell ref="L4:O4"/>
    <mergeCell ref="L10:O10"/>
    <mergeCell ref="B10:E10"/>
    <mergeCell ref="G5:J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4" customWidth="1" min="3" max="3"/>
    <col width="16" customWidth="1" min="4" max="4"/>
    <col width="16" customWidth="1" min="5" max="5"/>
    <col width="8" customWidth="1" min="6" max="6"/>
    <col width="12" customWidth="1" min="7" max="7"/>
    <col width="16" customWidth="1" min="8" max="8"/>
    <col width="16" customWidth="1" min="9" max="9"/>
    <col width="11" customWidth="1" min="10" max="10"/>
    <col width="12" customWidth="1" min="11" max="11"/>
    <col width="22" customWidth="1" min="12" max="12"/>
  </cols>
  <sheetData>
    <row r="1" ht="28" customHeight="1">
      <c r="A1" s="6" t="inlineStr">
        <is>
          <t>Pays</t>
        </is>
      </c>
      <c r="B1" s="6" t="inlineStr">
        <is>
          <t>Statut</t>
        </is>
      </c>
      <c r="C1" s="6" t="inlineStr">
        <is>
          <t>Date démarrage</t>
        </is>
      </c>
      <c r="D1" s="6" t="inlineStr">
        <is>
          <t>Tonnage 2025 (t)</t>
        </is>
      </c>
      <c r="E1" s="6" t="inlineStr">
        <is>
          <t>Tonnage 2026 (t)</t>
        </is>
      </c>
      <c r="F1" s="6" t="inlineStr">
        <is>
          <t>Jobs</t>
        </is>
      </c>
      <c r="G1" s="6" t="inlineStr">
        <is>
          <t>CapEx (€)</t>
        </is>
      </c>
      <c r="H1" s="6" t="inlineStr">
        <is>
          <t>Revenue 2025 (€)</t>
        </is>
      </c>
      <c r="I1" s="6" t="inlineStr">
        <is>
          <t>Revenue 2026 (€)</t>
        </is>
      </c>
      <c r="J1" s="6" t="inlineStr">
        <is>
          <t>% capacité</t>
        </is>
      </c>
      <c r="K1" s="6" t="inlineStr">
        <is>
          <t>Marge brute %</t>
        </is>
      </c>
      <c r="L1" s="6" t="inlineStr">
        <is>
          <t>Note</t>
        </is>
      </c>
    </row>
    <row r="2">
      <c r="A2" s="7" t="inlineStr">
        <is>
          <t>Sénégal</t>
        </is>
      </c>
      <c r="B2" s="7" t="inlineStr">
        <is>
          <t>Active</t>
        </is>
      </c>
      <c r="C2" s="8" t="inlineStr">
        <is>
          <t>2024-11-01</t>
        </is>
      </c>
      <c r="D2" s="9" t="n">
        <v>30</v>
      </c>
      <c r="E2" s="9" t="n">
        <v>60</v>
      </c>
      <c r="F2" s="9" t="n">
        <v>25</v>
      </c>
      <c r="G2" s="10" t="n">
        <v>280000</v>
      </c>
      <c r="H2" s="10" t="n">
        <v>80000</v>
      </c>
      <c r="I2" s="10" t="n">
        <v>180000</v>
      </c>
      <c r="J2" s="11" t="n">
        <v>65</v>
      </c>
      <c r="K2" s="11" t="n">
        <v>12</v>
      </c>
      <c r="L2" s="7" t="inlineStr">
        <is>
          <t>Pilote Dakar</t>
        </is>
      </c>
    </row>
    <row r="3">
      <c r="A3" s="12" t="inlineStr">
        <is>
          <t>Indonésie</t>
        </is>
      </c>
      <c r="B3" s="12" t="inlineStr">
        <is>
          <t>Active</t>
        </is>
      </c>
      <c r="C3" s="13" t="inlineStr">
        <is>
          <t>2025-03-15</t>
        </is>
      </c>
      <c r="D3" s="14" t="n">
        <v>45</v>
      </c>
      <c r="E3" s="14" t="n">
        <v>90</v>
      </c>
      <c r="F3" s="14" t="n">
        <v>35</v>
      </c>
      <c r="G3" s="15" t="n">
        <v>320000</v>
      </c>
      <c r="H3" s="15" t="n">
        <v>120000</v>
      </c>
      <c r="I3" s="15" t="n">
        <v>240000</v>
      </c>
      <c r="J3" s="16" t="n">
        <v>70</v>
      </c>
      <c r="K3" s="16" t="n">
        <v>14</v>
      </c>
      <c r="L3" s="12" t="inlineStr">
        <is>
          <t>Pilote Bali</t>
        </is>
      </c>
    </row>
    <row r="4">
      <c r="A4" s="7" t="inlineStr">
        <is>
          <t>Philippines</t>
        </is>
      </c>
      <c r="B4" s="7" t="inlineStr">
        <is>
          <t>Active</t>
        </is>
      </c>
      <c r="C4" s="8" t="inlineStr">
        <is>
          <t>2025-06-20</t>
        </is>
      </c>
      <c r="D4" s="9" t="n">
        <v>25</v>
      </c>
      <c r="E4" s="9" t="n">
        <v>55</v>
      </c>
      <c r="F4" s="9" t="n">
        <v>20</v>
      </c>
      <c r="G4" s="10" t="n">
        <v>290000</v>
      </c>
      <c r="H4" s="10" t="n">
        <v>70000</v>
      </c>
      <c r="I4" s="10" t="n">
        <v>160000</v>
      </c>
      <c r="J4" s="11" t="n">
        <v>60</v>
      </c>
      <c r="K4" s="11" t="n">
        <v>10</v>
      </c>
      <c r="L4" s="7" t="inlineStr">
        <is>
          <t>Pilote Cebu</t>
        </is>
      </c>
    </row>
    <row r="5">
      <c r="A5" s="12" t="inlineStr">
        <is>
          <t>Kenya</t>
        </is>
      </c>
      <c r="B5" s="12" t="inlineStr">
        <is>
          <t>Pipeline</t>
        </is>
      </c>
      <c r="C5" s="13" t="inlineStr">
        <is>
          <t>2026-Q3</t>
        </is>
      </c>
      <c r="D5" s="14" t="n">
        <v>0</v>
      </c>
      <c r="E5" s="14" t="n">
        <v>20</v>
      </c>
      <c r="F5" s="14" t="n">
        <v>10</v>
      </c>
      <c r="G5" s="15" t="n">
        <v>310000</v>
      </c>
      <c r="H5" s="15" t="n">
        <v>0</v>
      </c>
      <c r="I5" s="15" t="n">
        <v>45000</v>
      </c>
      <c r="J5" s="16" t="n">
        <v>0</v>
      </c>
      <c r="K5" s="16" t="n"/>
      <c r="L5" s="12" t="inlineStr">
        <is>
          <t>Lancement Q3</t>
        </is>
      </c>
    </row>
    <row r="6">
      <c r="A6" s="7" t="inlineStr">
        <is>
          <t>Cameroun</t>
        </is>
      </c>
      <c r="B6" s="7" t="inlineStr">
        <is>
          <t>Pipeline</t>
        </is>
      </c>
      <c r="C6" s="8" t="inlineStr">
        <is>
          <t>2026-Q4</t>
        </is>
      </c>
      <c r="D6" s="9" t="n">
        <v>0</v>
      </c>
      <c r="E6" s="9" t="n">
        <v>10</v>
      </c>
      <c r="F6" s="9" t="n">
        <v>5</v>
      </c>
      <c r="G6" s="10" t="n">
        <v>300000</v>
      </c>
      <c r="H6" s="10" t="n">
        <v>0</v>
      </c>
      <c r="I6" s="10" t="n">
        <v>20000</v>
      </c>
      <c r="J6" s="11" t="n">
        <v>0</v>
      </c>
      <c r="K6" s="11" t="n"/>
      <c r="L6" s="7" t="inlineStr">
        <is>
          <t>Étude finale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7" t="inlineStr">
        <is>
          <t>Tonnage par pays — Évolution 2025 → 2026</t>
        </is>
      </c>
    </row>
    <row r="3">
      <c r="A3" s="18" t="inlineStr">
        <is>
          <t>Pays</t>
        </is>
      </c>
      <c r="B3" s="18" t="inlineStr">
        <is>
          <t>2025</t>
        </is>
      </c>
      <c r="C3" s="18" t="inlineStr">
        <is>
          <t>2026</t>
        </is>
      </c>
    </row>
    <row r="4">
      <c r="A4" s="19" t="inlineStr">
        <is>
          <t>Sénégal</t>
        </is>
      </c>
      <c r="B4" s="19" t="n">
        <v>30</v>
      </c>
      <c r="C4" s="19" t="n">
        <v>60</v>
      </c>
    </row>
    <row r="5">
      <c r="A5" s="19" t="inlineStr">
        <is>
          <t>Indonésie</t>
        </is>
      </c>
      <c r="B5" s="19" t="n">
        <v>45</v>
      </c>
      <c r="C5" s="19" t="n">
        <v>90</v>
      </c>
    </row>
    <row r="6">
      <c r="A6" s="19" t="inlineStr">
        <is>
          <t>Philippines</t>
        </is>
      </c>
      <c r="B6" s="19" t="n">
        <v>25</v>
      </c>
      <c r="C6" s="19" t="n">
        <v>55</v>
      </c>
    </row>
    <row r="7">
      <c r="A7" s="19" t="inlineStr">
        <is>
          <t>Kenya</t>
        </is>
      </c>
      <c r="B7" s="19" t="n">
        <v>0</v>
      </c>
      <c r="C7" s="19" t="n">
        <v>20</v>
      </c>
    </row>
    <row r="8">
      <c r="A8" s="19" t="inlineStr">
        <is>
          <t>Cameroun</t>
        </is>
      </c>
      <c r="B8" s="19" t="n">
        <v>0</v>
      </c>
      <c r="C8" s="19" t="n">
        <v>10</v>
      </c>
    </row>
    <row r="11">
      <c r="A11" s="5" t="inlineStr">
        <is>
          <t>Source : POF Operational Tracker — données indicatives FY2026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2026-04-26T19:08:45Z</dcterms:created>
  <dcterms:modified xmlns:dcterms="http://purl.org/dc/terms/" xmlns:xsi="http://www.w3.org/2001/XMLSchema-instance" xsi:type="dcterms:W3CDTF">2026-04-26T19:08:45Z</dcterms:modified>
</cp:coreProperties>
</file>